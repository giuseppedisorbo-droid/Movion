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use\Desktop\PROGETTO MOVION BUSINESS PLAN\"/>
    </mc:Choice>
  </mc:AlternateContent>
  <xr:revisionPtr revIDLastSave="0" documentId="13_ncr:1_{269B40E4-B444-4EB0-8079-F436CF5218A5}" xr6:coauthVersionLast="47" xr6:coauthVersionMax="47" xr10:uidLastSave="{00000000-0000-0000-0000-000000000000}"/>
  <bookViews>
    <workbookView xWindow="-108" yWindow="-108" windowWidth="23256" windowHeight="13896" xr2:uid="{638078C5-E499-49EE-9E7A-7F33F187F509}"/>
  </bookViews>
  <sheets>
    <sheet name="Feb. 2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" l="1"/>
  <c r="C13" i="1"/>
  <c r="N13" i="1"/>
  <c r="K13" i="1"/>
  <c r="J13" i="1"/>
  <c r="L12" i="1"/>
  <c r="O11" i="1"/>
  <c r="L11" i="1"/>
  <c r="M11" i="1" s="1"/>
  <c r="O10" i="1"/>
  <c r="L10" i="1"/>
  <c r="M10" i="1" s="1"/>
  <c r="F13" i="1"/>
  <c r="G11" i="1"/>
  <c r="G10" i="1"/>
  <c r="D12" i="1"/>
  <c r="D11" i="1"/>
  <c r="E11" i="1" s="1"/>
  <c r="D10" i="1"/>
  <c r="E10" i="1" s="1"/>
  <c r="L13" i="1" l="1"/>
  <c r="D13" i="1"/>
  <c r="M13" i="1"/>
  <c r="O13" i="1"/>
  <c r="E13" i="1"/>
  <c r="G13" i="1"/>
</calcChain>
</file>

<file path=xl/sharedStrings.xml><?xml version="1.0" encoding="utf-8"?>
<sst xmlns="http://schemas.openxmlformats.org/spreadsheetml/2006/main" count="32" uniqueCount="15">
  <si>
    <t>Vendite Ausili</t>
  </si>
  <si>
    <t>Altri Servizi Ausili</t>
  </si>
  <si>
    <t>Sanificazione</t>
  </si>
  <si>
    <t>Totale AUSILI</t>
  </si>
  <si>
    <t>Dati in K€</t>
  </si>
  <si>
    <t>Importo (K€)</t>
  </si>
  <si>
    <t>Delta</t>
  </si>
  <si>
    <t>Var. %</t>
  </si>
  <si>
    <t>Descrizione</t>
  </si>
  <si>
    <t>Bdg.26</t>
  </si>
  <si>
    <t>-</t>
  </si>
  <si>
    <t>EUBIOS MARZO 2026</t>
  </si>
  <si>
    <t>Statistiche Eubios -Tavola Vendite Prog. Mar. '26</t>
  </si>
  <si>
    <t>Statistiche Eubios -Tavola Vendite Mar. '26 vs '25</t>
  </si>
  <si>
    <t>RICAVI (Pre-fatturazione Marzo)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</si>
</sst>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.00_);\(* #,##0.00\);_(* &quot;-&quot;??_);_(@_)"/>
    <numFmt numFmtId="165" formatCode="_(* #,##0_);_(* \(#,##0\);_(* &quot;-&quot;??_);_(@_)"/>
    <numFmt numFmtId="166" formatCode="0.0%"/>
    <numFmt numFmtId="167" formatCode="#,##0.0;\-#,##0.0"/>
    <numFmt numFmtId="168" formatCode="#,##0.0;[Red]\-#,##0.0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color rgb="FF002060"/>
      <name val="Aptos Narrow"/>
      <family val="2"/>
      <scheme val="minor"/>
    </font>
    <font>
      <b/>
      <sz val="10"/>
      <name val="Arial"/>
      <family val="2"/>
    </font>
    <font>
      <sz val="10"/>
      <color rgb="FF002060"/>
      <name val="Aptos Narrow"/>
      <family val="2"/>
      <scheme val="minor"/>
    </font>
    <font>
      <sz val="8"/>
      <name val="Arial"/>
      <family val="2"/>
    </font>
    <font>
      <sz val="10"/>
      <color rgb="FF000000"/>
      <name val="Times New Roman"/>
      <family val="1"/>
    </font>
    <font>
      <b/>
      <sz val="10"/>
      <name val="Times New Roman"/>
      <family val="1"/>
    </font>
    <font>
      <sz val="10"/>
      <color theme="1"/>
      <name val="Times New Roman"/>
      <family val="1"/>
    </font>
    <font>
      <sz val="10"/>
      <color theme="1"/>
      <name val="Aptos Narrow"/>
      <family val="2"/>
      <scheme val="minor"/>
    </font>
    <font>
      <b/>
      <sz val="10"/>
      <color rgb="FF00B0F0"/>
      <name val="Times New Roman"/>
      <family val="1"/>
    </font>
    <font>
      <b/>
      <u/>
      <sz val="10"/>
      <color theme="1"/>
      <name val="Times New Roman"/>
      <family val="1"/>
    </font>
    <font>
      <b/>
      <sz val="10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0" fontId="7" fillId="0" borderId="0"/>
    <xf numFmtId="0" fontId="1" fillId="0" borderId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164" fontId="4" fillId="0" borderId="0" applyFont="0" applyFill="0" applyBorder="0" applyAlignment="0" applyProtection="0"/>
    <xf numFmtId="0" fontId="6" fillId="0" borderId="0"/>
    <xf numFmtId="43" fontId="2" fillId="0" borderId="0" quotePrefix="1" applyFont="0" applyFill="0" applyBorder="0" applyAlignment="0">
      <protection locked="0"/>
    </xf>
    <xf numFmtId="0" fontId="1" fillId="0" borderId="0"/>
    <xf numFmtId="43" fontId="1" fillId="0" borderId="0" applyFont="0" applyFill="0" applyBorder="0" applyAlignment="0" applyProtection="0"/>
  </cellStyleXfs>
  <cellXfs count="39">
    <xf numFmtId="0" fontId="0" fillId="0" borderId="0" xfId="0"/>
    <xf numFmtId="0" fontId="8" fillId="3" borderId="0" xfId="2" applyFont="1" applyFill="1" applyAlignment="1">
      <alignment horizontal="left" vertical="top" wrapText="1"/>
    </xf>
    <xf numFmtId="0" fontId="7" fillId="0" borderId="0" xfId="2" applyAlignment="1">
      <alignment horizontal="left" vertical="top" wrapText="1"/>
    </xf>
    <xf numFmtId="0" fontId="9" fillId="0" borderId="0" xfId="0" applyFont="1" applyAlignment="1">
      <alignment horizontal="left"/>
    </xf>
    <xf numFmtId="9" fontId="9" fillId="0" borderId="0" xfId="1" applyFont="1" applyAlignment="1">
      <alignment horizontal="left"/>
    </xf>
    <xf numFmtId="0" fontId="10" fillId="0" borderId="0" xfId="0" applyFont="1" applyAlignment="1">
      <alignment horizontal="left"/>
    </xf>
    <xf numFmtId="0" fontId="8" fillId="0" borderId="0" xfId="2" applyFont="1" applyAlignment="1">
      <alignment horizontal="left" vertical="top" wrapText="1"/>
    </xf>
    <xf numFmtId="9" fontId="9" fillId="0" borderId="0" xfId="1" applyFont="1" applyFill="1" applyAlignment="1">
      <alignment horizontal="left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3" fillId="0" borderId="2" xfId="0" applyFont="1" applyBorder="1" applyAlignment="1">
      <alignment horizontal="left"/>
    </xf>
    <xf numFmtId="3" fontId="13" fillId="0" borderId="1" xfId="0" applyNumberFormat="1" applyFont="1" applyBorder="1" applyAlignment="1">
      <alignment horizontal="left"/>
    </xf>
    <xf numFmtId="3" fontId="13" fillId="0" borderId="0" xfId="0" applyNumberFormat="1" applyFont="1" applyAlignment="1">
      <alignment horizontal="left"/>
    </xf>
    <xf numFmtId="0" fontId="10" fillId="0" borderId="0" xfId="0" applyFont="1"/>
    <xf numFmtId="9" fontId="10" fillId="0" borderId="5" xfId="1" applyFont="1" applyBorder="1"/>
    <xf numFmtId="9" fontId="10" fillId="0" borderId="2" xfId="1" applyFont="1" applyBorder="1"/>
    <xf numFmtId="165" fontId="5" fillId="0" borderId="10" xfId="7" applyNumberFormat="1" applyFont="1" applyBorder="1"/>
    <xf numFmtId="17" fontId="13" fillId="2" borderId="11" xfId="0" applyNumberFormat="1" applyFont="1" applyFill="1" applyBorder="1" applyAlignment="1">
      <alignment horizontal="left"/>
    </xf>
    <xf numFmtId="17" fontId="13" fillId="6" borderId="3" xfId="0" applyNumberFormat="1" applyFont="1" applyFill="1" applyBorder="1" applyAlignment="1">
      <alignment horizontal="left"/>
    </xf>
    <xf numFmtId="0" fontId="13" fillId="4" borderId="3" xfId="0" applyFont="1" applyFill="1" applyBorder="1" applyAlignment="1">
      <alignment horizontal="left"/>
    </xf>
    <xf numFmtId="0" fontId="13" fillId="5" borderId="3" xfId="0" applyFont="1" applyFill="1" applyBorder="1" applyAlignment="1">
      <alignment horizontal="left"/>
    </xf>
    <xf numFmtId="0" fontId="13" fillId="8" borderId="3" xfId="0" applyFont="1" applyFill="1" applyBorder="1" applyAlignment="1">
      <alignment horizontal="left"/>
    </xf>
    <xf numFmtId="9" fontId="13" fillId="5" borderId="12" xfId="1" applyFont="1" applyFill="1" applyBorder="1" applyAlignment="1">
      <alignment horizontal="left"/>
    </xf>
    <xf numFmtId="165" fontId="5" fillId="0" borderId="4" xfId="7" applyNumberFormat="1" applyFont="1" applyBorder="1"/>
    <xf numFmtId="165" fontId="5" fillId="0" borderId="13" xfId="7" applyNumberFormat="1" applyFont="1" applyBorder="1"/>
    <xf numFmtId="165" fontId="3" fillId="9" borderId="7" xfId="7" applyNumberFormat="1" applyFont="1" applyFill="1" applyBorder="1"/>
    <xf numFmtId="167" fontId="10" fillId="0" borderId="5" xfId="0" applyNumberFormat="1" applyFont="1" applyBorder="1"/>
    <xf numFmtId="167" fontId="10" fillId="0" borderId="2" xfId="0" applyNumberFormat="1" applyFont="1" applyBorder="1"/>
    <xf numFmtId="167" fontId="10" fillId="9" borderId="8" xfId="0" applyNumberFormat="1" applyFont="1" applyFill="1" applyBorder="1"/>
    <xf numFmtId="168" fontId="10" fillId="0" borderId="5" xfId="0" applyNumberFormat="1" applyFont="1" applyBorder="1"/>
    <xf numFmtId="168" fontId="10" fillId="0" borderId="2" xfId="0" applyNumberFormat="1" applyFont="1" applyBorder="1"/>
    <xf numFmtId="166" fontId="10" fillId="9" borderId="9" xfId="1" applyNumberFormat="1" applyFont="1" applyFill="1" applyBorder="1"/>
    <xf numFmtId="168" fontId="10" fillId="9" borderId="8" xfId="0" applyNumberFormat="1" applyFont="1" applyFill="1" applyBorder="1"/>
    <xf numFmtId="9" fontId="10" fillId="9" borderId="8" xfId="1" applyFont="1" applyFill="1" applyBorder="1"/>
    <xf numFmtId="166" fontId="10" fillId="0" borderId="6" xfId="1" applyNumberFormat="1" applyFont="1" applyBorder="1"/>
    <xf numFmtId="166" fontId="10" fillId="0" borderId="14" xfId="1" applyNumberFormat="1" applyFont="1" applyBorder="1"/>
    <xf numFmtId="0" fontId="13" fillId="7" borderId="4" xfId="0" applyFont="1" applyFill="1" applyBorder="1" applyAlignment="1">
      <alignment horizontal="center"/>
    </xf>
    <xf numFmtId="0" fontId="13" fillId="7" borderId="5" xfId="0" applyFont="1" applyFill="1" applyBorder="1" applyAlignment="1">
      <alignment horizontal="center"/>
    </xf>
    <xf numFmtId="0" fontId="13" fillId="7" borderId="6" xfId="0" applyFont="1" applyFill="1" applyBorder="1" applyAlignment="1">
      <alignment horizontal="center"/>
    </xf>
  </cellXfs>
  <cellStyles count="12">
    <cellStyle name="Migliaia 2" xfId="7" xr:uid="{D7CFD9C3-EE2D-470E-9283-8DA4DE4CB0CD}"/>
    <cellStyle name="Migliaia 5" xfId="9" xr:uid="{EF60076E-A4F9-414E-8496-303145BAC844}"/>
    <cellStyle name="Migliaia 7" xfId="4" xr:uid="{AF893A19-D50A-403B-BDDF-EEF8CDB47A4C}"/>
    <cellStyle name="Migliaia 7 2" xfId="11" xr:uid="{FE317ADF-8698-4828-9A3A-58610CA997DB}"/>
    <cellStyle name="Normale" xfId="0" builtinId="0"/>
    <cellStyle name="Normale 10" xfId="3" xr:uid="{5B91FE6D-6401-49B4-A87B-2E148DD35445}"/>
    <cellStyle name="Normale 10 2" xfId="10" xr:uid="{CD2163A1-3FA5-4BB5-8AE3-4ADCCF20220F}"/>
    <cellStyle name="Normale 2" xfId="2" xr:uid="{71D2BF3B-3F32-4F8A-9FF2-7C76C7746C82}"/>
    <cellStyle name="Normale 2 2" xfId="8" xr:uid="{08A18FB1-B510-4C28-85DC-9B0F90D0C99A}"/>
    <cellStyle name="Normale 2 3" xfId="6" xr:uid="{1DE1CD86-6257-47DA-8157-BD79EBEE707C}"/>
    <cellStyle name="Percentuale" xfId="1" builtinId="5"/>
    <cellStyle name="Percentuale 4" xfId="5" xr:uid="{C963D5E1-7F71-4862-8364-456B7594086F}"/>
  </cellStyles>
  <dxfs count="4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E42F2-05B3-48B6-BEF0-5A979A310461}">
  <dimension ref="A1:O13"/>
  <sheetViews>
    <sheetView tabSelected="1" zoomScaleNormal="100" workbookViewId="0">
      <selection activeCell="G3" sqref="G3"/>
    </sheetView>
  </sheetViews>
  <sheetFormatPr defaultColWidth="9.109375" defaultRowHeight="13.8" x14ac:dyDescent="0.3"/>
  <cols>
    <col min="1" max="1" width="40.33203125" style="13" bestFit="1" customWidth="1"/>
    <col min="2" max="3" width="6.88671875" style="13" bestFit="1" customWidth="1"/>
    <col min="4" max="4" width="5.44140625" style="13" bestFit="1" customWidth="1"/>
    <col min="5" max="5" width="7" style="13" bestFit="1" customWidth="1"/>
    <col min="6" max="6" width="6.88671875" style="13" bestFit="1" customWidth="1"/>
    <col min="7" max="7" width="7.44140625" style="13" bestFit="1" customWidth="1"/>
    <col min="8" max="8" width="6" style="13" customWidth="1"/>
    <col min="9" max="9" width="40.5546875" style="13" bestFit="1" customWidth="1"/>
    <col min="10" max="11" width="6.88671875" style="13" bestFit="1" customWidth="1"/>
    <col min="12" max="12" width="5.44140625" style="13" bestFit="1" customWidth="1"/>
    <col min="13" max="13" width="7" style="13" bestFit="1" customWidth="1"/>
    <col min="14" max="14" width="6.88671875" style="13" bestFit="1" customWidth="1"/>
    <col min="15" max="15" width="7.44140625" style="13" bestFit="1" customWidth="1"/>
    <col min="16" max="16384" width="9.109375" style="13"/>
  </cols>
  <sheetData>
    <row r="1" spans="1:15" s="5" customFormat="1" x14ac:dyDescent="0.3">
      <c r="A1" s="1" t="s">
        <v>11</v>
      </c>
      <c r="B1" s="2"/>
      <c r="C1" s="2"/>
      <c r="D1" s="3"/>
      <c r="E1" s="3"/>
      <c r="F1" s="3"/>
      <c r="G1" s="4"/>
      <c r="I1" s="1" t="s">
        <v>11</v>
      </c>
      <c r="J1" s="2"/>
      <c r="K1" s="2"/>
      <c r="L1" s="3"/>
      <c r="M1" s="3"/>
      <c r="N1" s="3"/>
      <c r="O1" s="4"/>
    </row>
    <row r="2" spans="1:15" s="5" customFormat="1" x14ac:dyDescent="0.3">
      <c r="A2" s="6"/>
      <c r="B2" s="2"/>
      <c r="C2" s="2"/>
      <c r="D2" s="3"/>
      <c r="E2" s="3"/>
      <c r="F2" s="3"/>
      <c r="G2" s="7"/>
      <c r="I2" s="6"/>
      <c r="J2" s="2"/>
      <c r="K2" s="2"/>
      <c r="L2" s="3"/>
      <c r="M2" s="3"/>
      <c r="N2" s="3"/>
      <c r="O2" s="7"/>
    </row>
    <row r="3" spans="1:15" s="5" customFormat="1" x14ac:dyDescent="0.3">
      <c r="A3" s="8" t="s">
        <v>12</v>
      </c>
      <c r="B3" s="3"/>
      <c r="C3" s="3"/>
      <c r="D3" s="3"/>
      <c r="E3" s="3"/>
      <c r="F3" s="3"/>
      <c r="G3" s="4"/>
      <c r="I3" s="8" t="s">
        <v>13</v>
      </c>
      <c r="J3" s="3"/>
      <c r="K3" s="3"/>
      <c r="L3" s="3"/>
      <c r="M3" s="3"/>
      <c r="N3" s="3"/>
      <c r="O3" s="4"/>
    </row>
    <row r="4" spans="1:15" s="5" customFormat="1" x14ac:dyDescent="0.3">
      <c r="A4" s="8"/>
      <c r="B4" s="3"/>
      <c r="C4" s="3"/>
      <c r="D4" s="3"/>
      <c r="E4" s="3"/>
      <c r="F4" s="3"/>
      <c r="G4" s="4"/>
      <c r="I4" s="8"/>
      <c r="J4" s="3"/>
      <c r="K4" s="3"/>
      <c r="L4" s="3"/>
      <c r="M4" s="3"/>
      <c r="N4" s="3"/>
      <c r="O4" s="4"/>
    </row>
    <row r="5" spans="1:15" s="5" customFormat="1" x14ac:dyDescent="0.3">
      <c r="A5" s="9" t="s">
        <v>4</v>
      </c>
      <c r="B5" s="3"/>
      <c r="C5" s="3"/>
      <c r="D5" s="3"/>
      <c r="E5" s="3"/>
      <c r="F5" s="3"/>
      <c r="G5" s="4"/>
      <c r="I5" s="9" t="s">
        <v>4</v>
      </c>
      <c r="J5" s="3"/>
      <c r="K5" s="3"/>
      <c r="L5" s="3"/>
      <c r="M5" s="3"/>
      <c r="N5" s="3"/>
      <c r="O5" s="4"/>
    </row>
    <row r="6" spans="1:15" s="5" customFormat="1" x14ac:dyDescent="0.3">
      <c r="A6" s="10" t="s">
        <v>14</v>
      </c>
      <c r="I6" s="10" t="s">
        <v>14</v>
      </c>
    </row>
    <row r="7" spans="1:15" s="5" customFormat="1" ht="14.4" thickBot="1" x14ac:dyDescent="0.35">
      <c r="A7" s="11"/>
      <c r="I7" s="11"/>
    </row>
    <row r="8" spans="1:15" s="5" customFormat="1" ht="14.4" thickBot="1" x14ac:dyDescent="0.35">
      <c r="A8" s="12"/>
      <c r="B8" s="36" t="s">
        <v>5</v>
      </c>
      <c r="C8" s="37"/>
      <c r="D8" s="37"/>
      <c r="E8" s="37"/>
      <c r="F8" s="37"/>
      <c r="G8" s="38"/>
      <c r="I8" s="12"/>
      <c r="J8" s="36" t="s">
        <v>5</v>
      </c>
      <c r="K8" s="37"/>
      <c r="L8" s="37"/>
      <c r="M8" s="37"/>
      <c r="N8" s="37"/>
      <c r="O8" s="38"/>
    </row>
    <row r="9" spans="1:15" ht="14.4" thickBot="1" x14ac:dyDescent="0.35">
      <c r="A9" s="16" t="s">
        <v>8</v>
      </c>
      <c r="B9" s="17">
        <v>46082</v>
      </c>
      <c r="C9" s="18">
        <v>45717</v>
      </c>
      <c r="D9" s="19" t="s">
        <v>6</v>
      </c>
      <c r="E9" s="20" t="s">
        <v>7</v>
      </c>
      <c r="F9" s="21" t="s">
        <v>9</v>
      </c>
      <c r="G9" s="22" t="s">
        <v>7</v>
      </c>
      <c r="I9" s="16" t="s">
        <v>8</v>
      </c>
      <c r="J9" s="17">
        <v>46082</v>
      </c>
      <c r="K9" s="18">
        <v>45717</v>
      </c>
      <c r="L9" s="19" t="s">
        <v>6</v>
      </c>
      <c r="M9" s="20" t="s">
        <v>7</v>
      </c>
      <c r="N9" s="21" t="s">
        <v>9</v>
      </c>
      <c r="O9" s="22" t="s">
        <v>7</v>
      </c>
    </row>
    <row r="10" spans="1:15" x14ac:dyDescent="0.3">
      <c r="A10" s="23" t="s">
        <v>0</v>
      </c>
      <c r="B10" s="26">
        <v>11.5</v>
      </c>
      <c r="C10" s="26">
        <v>15.3</v>
      </c>
      <c r="D10" s="26">
        <f>B10-C10</f>
        <v>-3.8000000000000007</v>
      </c>
      <c r="E10" s="14">
        <f>D10/B10</f>
        <v>-0.33043478260869569</v>
      </c>
      <c r="F10" s="29">
        <v>5.5</v>
      </c>
      <c r="G10" s="34">
        <f>(B10-F10)/F10</f>
        <v>1.0909090909090908</v>
      </c>
      <c r="I10" s="23" t="s">
        <v>0</v>
      </c>
      <c r="J10" s="26">
        <v>3.4</v>
      </c>
      <c r="K10" s="26">
        <v>7.2</v>
      </c>
      <c r="L10" s="26">
        <f>J10-K10</f>
        <v>-3.8000000000000003</v>
      </c>
      <c r="M10" s="14">
        <f>L10/J10</f>
        <v>-1.1176470588235294</v>
      </c>
      <c r="N10" s="29">
        <v>2.4</v>
      </c>
      <c r="O10" s="34">
        <f>(J10-N10)/N10</f>
        <v>0.41666666666666669</v>
      </c>
    </row>
    <row r="11" spans="1:15" x14ac:dyDescent="0.3">
      <c r="A11" s="24" t="s">
        <v>1</v>
      </c>
      <c r="B11" s="27">
        <v>77.099999999999994</v>
      </c>
      <c r="C11" s="27">
        <v>65.099999999999994</v>
      </c>
      <c r="D11" s="27">
        <f t="shared" ref="D11:D12" si="0">B11-C11</f>
        <v>12</v>
      </c>
      <c r="E11" s="15">
        <f t="shared" ref="E11" si="1">D11/B11</f>
        <v>0.1556420233463035</v>
      </c>
      <c r="F11" s="30">
        <v>61.7</v>
      </c>
      <c r="G11" s="35">
        <f t="shared" ref="G11" si="2">(B11-F11)/F11</f>
        <v>0.24959481361426242</v>
      </c>
      <c r="I11" s="24" t="s">
        <v>1</v>
      </c>
      <c r="J11" s="27">
        <v>26</v>
      </c>
      <c r="K11" s="27">
        <v>23.3</v>
      </c>
      <c r="L11" s="27">
        <f t="shared" ref="L11:L12" si="3">J11-K11</f>
        <v>2.6999999999999993</v>
      </c>
      <c r="M11" s="15">
        <f t="shared" ref="M11" si="4">L11/J11</f>
        <v>0.10384615384615382</v>
      </c>
      <c r="N11" s="30">
        <v>27.3</v>
      </c>
      <c r="O11" s="35">
        <f t="shared" ref="O11" si="5">(J11-N11)/N11</f>
        <v>-4.7619047619047644E-2</v>
      </c>
    </row>
    <row r="12" spans="1:15" x14ac:dyDescent="0.3">
      <c r="A12" s="24" t="s">
        <v>2</v>
      </c>
      <c r="B12" s="27">
        <v>0</v>
      </c>
      <c r="C12" s="27">
        <v>0</v>
      </c>
      <c r="D12" s="27">
        <f t="shared" si="0"/>
        <v>0</v>
      </c>
      <c r="E12" s="15" t="s">
        <v>10</v>
      </c>
      <c r="F12" s="30">
        <v>0</v>
      </c>
      <c r="G12" s="35" t="s">
        <v>10</v>
      </c>
      <c r="I12" s="24" t="s">
        <v>2</v>
      </c>
      <c r="J12" s="27">
        <v>0</v>
      </c>
      <c r="K12" s="27">
        <v>0</v>
      </c>
      <c r="L12" s="27">
        <f t="shared" si="3"/>
        <v>0</v>
      </c>
      <c r="M12" s="15" t="s">
        <v>10</v>
      </c>
      <c r="N12" s="30">
        <v>0</v>
      </c>
      <c r="O12" s="35" t="s">
        <v>10</v>
      </c>
    </row>
    <row r="13" spans="1:15" ht="14.4" thickBot="1" x14ac:dyDescent="0.35">
      <c r="A13" s="25" t="s">
        <v>3</v>
      </c>
      <c r="B13" s="28">
        <f>SUM(B10:B12)</f>
        <v>88.6</v>
      </c>
      <c r="C13" s="28">
        <f>SUM(C10:C12)</f>
        <v>80.399999999999991</v>
      </c>
      <c r="D13" s="28">
        <f>B13-C13</f>
        <v>8.2000000000000028</v>
      </c>
      <c r="E13" s="33">
        <f>(B13-C13)/C13</f>
        <v>0.10199004975124383</v>
      </c>
      <c r="F13" s="32">
        <f>SUM(F10:F12)</f>
        <v>67.2</v>
      </c>
      <c r="G13" s="31">
        <f>(B13-F13)/F13</f>
        <v>0.31845238095238082</v>
      </c>
      <c r="I13" s="25" t="s">
        <v>3</v>
      </c>
      <c r="J13" s="28">
        <f>SUM(J10:J12)</f>
        <v>29.4</v>
      </c>
      <c r="K13" s="28">
        <f>SUM(K10:K12)</f>
        <v>30.5</v>
      </c>
      <c r="L13" s="28">
        <f>J13-K13</f>
        <v>-1.1000000000000014</v>
      </c>
      <c r="M13" s="33">
        <f>(J13-K13)/K13</f>
        <v>-3.6065573770491847E-2</v>
      </c>
      <c r="N13" s="32">
        <f>SUM(N10:N12)</f>
        <v>29.7</v>
      </c>
      <c r="O13" s="31">
        <f>(J13-N13)/N13</f>
        <v>-1.0101010101010124E-2</v>
      </c>
    </row>
  </sheetData>
  <mergeCells count="2">
    <mergeCell ref="B8:G8"/>
    <mergeCell ref="J8:O8"/>
  </mergeCells>
  <conditionalFormatting sqref="D10:E13 G10:G13 L10:M13 O10:O13">
    <cfRule type="cellIs" dxfId="3" priority="5" operator="lessThan">
      <formula>0</formula>
    </cfRule>
  </conditionalFormatting>
  <pageMargins left="0.7" right="0.7" top="0.75" bottom="0.75" header="0.3" footer="0.3"/>
  <pageSetup paperSize="8" orientation="portrait" r:id="rId1"/>
  <ignoredErrors>
    <ignoredError sqref="B13:G13 D11:E11 J13:O13 L12:M12 D12:G12 D10:E10 L10:M10 O10 L11:M11 O11 O12 G10 G11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Feb. 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Riccio Davide</dc:creator>
  <cp:lastModifiedBy>Di Sorbo Giuseppe</cp:lastModifiedBy>
  <cp:lastPrinted>2026-01-18T09:24:32Z</cp:lastPrinted>
  <dcterms:created xsi:type="dcterms:W3CDTF">2026-01-18T08:59:30Z</dcterms:created>
  <dcterms:modified xsi:type="dcterms:W3CDTF">2026-04-09T11:27:59Z</dcterms:modified>
</cp:coreProperties>
</file>